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limnet-my.sharepoint.com/personal/johannes_da_glimnet_se/Documents/Allmän/Varningsbrev/"/>
    </mc:Choice>
  </mc:AlternateContent>
  <xr:revisionPtr revIDLastSave="23" documentId="8_{06732631-45C7-4E70-ACE7-2C0CF448044C}" xr6:coauthVersionLast="47" xr6:coauthVersionMax="47" xr10:uidLastSave="{25946464-406D-466C-A948-C15CC69F418B}"/>
  <bookViews>
    <workbookView xWindow="28680" yWindow="-16320" windowWidth="29040" windowHeight="15720" xr2:uid="{FCB1322D-80AD-4FB1-B3A4-EB9010CCF324}"/>
  </bookViews>
  <sheets>
    <sheet name="Info" sheetId="5" r:id="rId1"/>
    <sheet name="Sammanställning" sheetId="1" r:id="rId2"/>
    <sheet name="Data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2" i="1" l="1"/>
  <c r="A2" i="1"/>
  <c r="E2" i="1" l="1"/>
  <c r="F2" i="1" s="1"/>
  <c r="D2" i="1"/>
  <c r="G2" i="1" s="1"/>
  <c r="B2" i="1"/>
  <c r="C2" i="1"/>
  <c r="H2" i="1" l="1"/>
  <c r="Y2" i="1" l="1"/>
  <c r="X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346378-4069-414E-A546-EFA94A8C82A0}" keepAlive="1" name="Fråga - SenastePlaner (2)" description="Anslutning till SenastePlaner (2)-frågan i arbetsboken." type="5" refreshedVersion="7" background="1" refreshOnLoad="1" saveData="1">
    <dbPr connection="Provider=Microsoft.Mashup.OleDb.1;Data Source=$Workbook$;Location=&quot;SenastePlaner (2)&quot;;Extended Properties=&quot;&quot;" command="SELECT * FROM [SenastePlaner (2)]"/>
  </connection>
</connections>
</file>

<file path=xl/sharedStrings.xml><?xml version="1.0" encoding="utf-8"?>
<sst xmlns="http://schemas.openxmlformats.org/spreadsheetml/2006/main" count="76" uniqueCount="57">
  <si>
    <t>Klass</t>
  </si>
  <si>
    <t>Efternamn</t>
  </si>
  <si>
    <t>Förnamn</t>
  </si>
  <si>
    <t>Total</t>
  </si>
  <si>
    <t>Varning</t>
  </si>
  <si>
    <t>Samtal</t>
  </si>
  <si>
    <t>4v</t>
  </si>
  <si>
    <t>Närvaro</t>
  </si>
  <si>
    <t>Tot Frånvaro</t>
  </si>
  <si>
    <t>4v frånvaro</t>
  </si>
  <si>
    <t>Period1</t>
  </si>
  <si>
    <t>Period2</t>
  </si>
  <si>
    <t>Period3</t>
  </si>
  <si>
    <t>Period4</t>
  </si>
  <si>
    <t>Period5</t>
  </si>
  <si>
    <t>Period6</t>
  </si>
  <si>
    <t>Period7</t>
  </si>
  <si>
    <t>Period8</t>
  </si>
  <si>
    <t>Varningstyp</t>
  </si>
  <si>
    <t>Elev</t>
  </si>
  <si>
    <t>Total närvaro</t>
  </si>
  <si>
    <t>Total frånvaro</t>
  </si>
  <si>
    <t>Oanmäld frånvaro</t>
  </si>
  <si>
    <t>Anmäld frånvaro</t>
  </si>
  <si>
    <t>Sen ankomst</t>
  </si>
  <si>
    <t>Allmän Fokus A</t>
  </si>
  <si>
    <t>Sammanskrivet</t>
  </si>
  <si>
    <t>Inaktiv</t>
  </si>
  <si>
    <t>0.0 t (0.0%)</t>
  </si>
  <si>
    <t>1.3 t (2.0%)</t>
  </si>
  <si>
    <t>Total text</t>
  </si>
  <si>
    <t>4v text</t>
  </si>
  <si>
    <t>Totalt</t>
  </si>
  <si>
    <t>Kolumn1</t>
  </si>
  <si>
    <t>164.4 t (75.8%)</t>
  </si>
  <si>
    <t>52.6 t (24.2%)</t>
  </si>
  <si>
    <t>43.5 t (20.0%)</t>
  </si>
  <si>
    <t>9.1 t (4.2%)</t>
  </si>
  <si>
    <t>44.8 t (68.0%)</t>
  </si>
  <si>
    <t>21.1 t (32.0%)</t>
  </si>
  <si>
    <t>19.8 t (30.0%)</t>
  </si>
  <si>
    <t>VT</t>
  </si>
  <si>
    <t>0.7 t (0.3%)</t>
  </si>
  <si>
    <t>VT frånvaro</t>
  </si>
  <si>
    <t>VT text</t>
  </si>
  <si>
    <t>Arbetsbok Närvaro</t>
  </si>
  <si>
    <t>176.8 t (75.5%)</t>
  </si>
  <si>
    <t>57.3 t (24.5%)</t>
  </si>
  <si>
    <t>47.5 t (20.3%)</t>
  </si>
  <si>
    <t>9.1 t (3.9%)</t>
  </si>
  <si>
    <t>M</t>
  </si>
  <si>
    <t>1. Klistra in data från SchoolSoft under fliken Data</t>
  </si>
  <si>
    <t>3. Stäng excel och gör klart i wordfilen</t>
  </si>
  <si>
    <t>2. Klicka på knappen "Hämta ny period"</t>
  </si>
  <si>
    <t>Johannes</t>
  </si>
  <si>
    <t>Dahlén</t>
  </si>
  <si>
    <t>Allmän Fokus A Dahlén Johannes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</si>
</sst>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2" fillId="2" borderId="1" xfId="1" applyFont="1" applyFill="1" applyBorder="1" applyAlignment="1">
      <alignment horizontal="center"/>
    </xf>
    <xf numFmtId="49" fontId="0" fillId="0" borderId="0" xfId="0" applyNumberFormat="1"/>
    <xf numFmtId="0" fontId="0" fillId="0" borderId="0" xfId="0" applyBorder="1"/>
    <xf numFmtId="49" fontId="0" fillId="0" borderId="0" xfId="0" applyNumberFormat="1" applyBorder="1"/>
    <xf numFmtId="1" fontId="2" fillId="0" borderId="3" xfId="0" applyNumberFormat="1" applyFont="1" applyFill="1" applyBorder="1" applyAlignment="1">
      <alignment wrapText="1"/>
    </xf>
    <xf numFmtId="49" fontId="2" fillId="0" borderId="0" xfId="0" applyNumberFormat="1" applyFont="1" applyBorder="1" applyAlignment="1">
      <alignment wrapText="1"/>
    </xf>
    <xf numFmtId="164" fontId="2" fillId="0" borderId="2" xfId="0" applyNumberFormat="1" applyFont="1" applyFill="1" applyBorder="1" applyAlignment="1">
      <alignment wrapText="1"/>
    </xf>
    <xf numFmtId="0" fontId="2" fillId="0" borderId="2" xfId="0" applyNumberFormat="1" applyFont="1" applyFill="1" applyBorder="1" applyAlignment="1">
      <alignment wrapText="1"/>
    </xf>
    <xf numFmtId="0" fontId="0" fillId="0" borderId="0" xfId="0" applyNumberFormat="1"/>
    <xf numFmtId="0" fontId="0" fillId="0" borderId="0" xfId="0" applyNumberFormat="1" applyBorder="1"/>
    <xf numFmtId="0" fontId="4" fillId="0" borderId="0" xfId="0" applyFont="1" applyAlignment="1"/>
    <xf numFmtId="0" fontId="2" fillId="0" borderId="4" xfId="0" applyNumberFormat="1" applyFont="1" applyFill="1" applyBorder="1" applyAlignment="1">
      <alignment wrapText="1"/>
    </xf>
    <xf numFmtId="0" fontId="7" fillId="2" borderId="1" xfId="1" applyFont="1" applyFill="1" applyBorder="1" applyAlignment="1">
      <alignment horizontal="center"/>
    </xf>
    <xf numFmtId="0" fontId="6" fillId="0" borderId="0" xfId="0" applyFont="1"/>
    <xf numFmtId="0" fontId="7" fillId="2" borderId="5" xfId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</cellXfs>
  <cellStyles count="2">
    <cellStyle name="Normal" xfId="0" builtinId="0"/>
    <cellStyle name="Normal_Blad1" xfId="1" xr:uid="{127ACD2A-EDE9-4B87-AF1B-9D9C8A714482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/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6</xdr:row>
          <xdr:rowOff>6350</xdr:rowOff>
        </xdr:from>
        <xdr:to>
          <xdr:col>2</xdr:col>
          <xdr:colOff>165100</xdr:colOff>
          <xdr:row>7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Hämta ny period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823F1-DB86-4D51-B5EC-8C36EAA0C503}" name="tblTotal" displayName="tblTotal" ref="A1:Z2" totalsRowShown="0" headerRowDxfId="29" dataDxfId="27" headerRowBorderDxfId="28" tableBorderDxfId="26" totalsRowBorderDxfId="25">
  <autoFilter ref="A1:Z2" xr:uid="{699628B2-D71C-4DF9-91DB-4463EC51DBF1}"/>
  <tableColumns count="26">
    <tableColumn id="6" xr3:uid="{FDFB58AD-C8AE-4FB3-A65C-643D29074D18}" name="Sammanskrivet" dataDxfId="24">
      <calculatedColumnFormula>tblTotal[[#This Row],[Klass]]&amp;" "&amp;tblTotal[[#This Row],[Efternamn]]&amp;" "&amp;tblTotal[[#This Row],[Förnamn]]</calculatedColumnFormula>
    </tableColumn>
    <tableColumn id="7" xr3:uid="{67FCD96F-4B1A-4D07-8710-A206364D8E13}" name="Närvaro" dataDxfId="23">
      <calculatedColumnFormula>_xlfn.XLOOKUP(tblTotal[[#This Row],[Sammanskrivet]],tblYear[Elev],tblYear[Total närvaro])</calculatedColumnFormula>
    </tableColumn>
    <tableColumn id="8" xr3:uid="{4728065B-6DD2-47DC-8D38-911B8046C5A9}" name="Tot Frånvaro" dataDxfId="22">
      <calculatedColumnFormula>_xlfn.XLOOKUP(tblTotal[[#This Row],[Sammanskrivet]],tblYear[Elev],tblYear[Total frånvaro])</calculatedColumnFormula>
    </tableColumn>
    <tableColumn id="9" xr3:uid="{84B00083-1B1F-4C20-A7AA-71B329E27468}" name="4v frånvaro" dataDxfId="21">
      <calculatedColumnFormula>_xlfn.XLOOKUP(tblTotal[[#This Row],[Sammanskrivet]],tbl4w[Elev],tbl4w[Total frånvaro])</calculatedColumnFormula>
    </tableColumn>
    <tableColumn id="26" xr3:uid="{5757B9AE-D0A1-4598-9C8A-20D98ADCBC64}" name="VT frånvaro" dataDxfId="20">
      <calculatedColumnFormula>_xlfn.XLOOKUP(tblTotal[[#This Row],[Sammanskrivet]],tblSpring[Elev],tblSpring[Total frånvaro])</calculatedColumnFormula>
    </tableColumn>
    <tableColumn id="28" xr3:uid="{0C0B41AB-19F0-409D-B466-C3E01D56C0BB}" name="VT" dataDxfId="19">
      <calculatedColumnFormula>VALUE(100-SUBSTITUTE(MID(tblTotal[[#This Row],[VT frånvaro]], SEARCH("t",tblTotal[[#This Row],[VT frånvaro]]) + 3, SEARCH("%",tblTotal[[#This Row],[VT frånvaro]]) - SEARCH("t",tblTotal[[#This Row],[VT frånvaro]])-3),".",","))</calculatedColumnFormula>
    </tableColumn>
    <tableColumn id="16" xr3:uid="{41D2E467-7909-46D4-8049-0C7A08EF7903}" name="4v" dataDxfId="18">
      <calculatedColumnFormula>VALUE(100-SUBSTITUTE(MID(tblTotal[[#This Row],[4v frånvaro]], SEARCH("t",tblTotal[[#This Row],[4v frånvaro]]) + 3, SEARCH("%",tblTotal[[#This Row],[4v frånvaro]]) - SEARCH("t",tblTotal[[#This Row],[4v frånvaro]])-3),".",","))</calculatedColumnFormula>
    </tableColumn>
    <tableColumn id="13" xr3:uid="{2E41DBE5-658D-4C11-B9D8-3B9B991AB802}" name="Total" dataDxfId="17">
      <calculatedColumnFormula>VALUE(100-SUBSTITUTE(MID(tblTotal[[#This Row],[Tot Frånvaro]], SEARCH("t",tblTotal[[#This Row],[Tot Frånvaro]]) + 3, SEARCH("%",tblTotal[[#This Row],[Tot Frånvaro]]) - SEARCH("t",tblTotal[[#This Row],[Tot Frånvaro]])-3),".",","))</calculatedColumnFormula>
    </tableColumn>
    <tableColumn id="1" xr3:uid="{C4330CD3-1289-4290-B3FE-1910E153D025}" name="Förnamn" dataDxfId="16"/>
    <tableColumn id="5" xr3:uid="{4A0192C2-5FAC-4FE8-9EE4-BF88F2E1AC00}" name="Efternamn"/>
    <tableColumn id="3" xr3:uid="{F5876111-C14A-4870-9BE8-17F75EDFBE77}" name="Klass" dataDxfId="15"/>
    <tableColumn id="17" xr3:uid="{F281FC85-1335-43AF-8EFF-1E5091ED568C}" name="Varningstyp" dataDxfId="14"/>
    <tableColumn id="27" xr3:uid="{C07E44D4-3075-4203-BAD0-9F99156E81C2}" name="VT text" dataDxfId="13"/>
    <tableColumn id="12" xr3:uid="{2840F3FB-31AD-44FC-B811-718A230BE504}" name="4v text" dataDxfId="12"/>
    <tableColumn id="25" xr3:uid="{BA8AC636-4E40-4842-AC39-51D4261FD7A1}" name="Total text" dataDxfId="11"/>
    <tableColumn id="24" xr3:uid="{B7219161-FC3B-43F9-AC7A-A4853FE7847F}" name="Period1" dataDxfId="10"/>
    <tableColumn id="23" xr3:uid="{69D3790E-7995-4C19-93B9-A63E3F45D9CD}" name="Period2" dataDxfId="9"/>
    <tableColumn id="22" xr3:uid="{F594F1A6-A9F3-4D32-8D5A-8B47BFD578DB}" name="Period3" dataDxfId="8"/>
    <tableColumn id="21" xr3:uid="{1DC0D2C2-0122-42B8-B757-61099BB3CF9F}" name="Period4" dataDxfId="7"/>
    <tableColumn id="20" xr3:uid="{5F0158CC-E368-4FE2-BCD7-8F9283299B37}" name="Period5" dataDxfId="6"/>
    <tableColumn id="19" xr3:uid="{B4568A82-0DD2-48D4-96D6-77DC1AB698B9}" name="Period6" dataDxfId="5"/>
    <tableColumn id="18" xr3:uid="{51A71D51-59BC-41D9-8A4C-788359A60F8A}" name="Period7" dataDxfId="4"/>
    <tableColumn id="4" xr3:uid="{FC255541-3FDA-43C0-9DA9-85426A4A3005}" name="Period8" dataDxfId="3"/>
    <tableColumn id="14" xr3:uid="{3FBC08D3-13BC-4281-B2B2-9D41467AA8BC}" name="Varning" dataDxfId="2">
      <calculatedColumnFormula>IF(OR(G2&lt;80,H2&lt;80),"Ja","Nej")</calculatedColumnFormula>
    </tableColumn>
    <tableColumn id="15" xr3:uid="{30122178-0C7A-4BC9-9537-A4F0E825581A}" name="Samtal" dataDxfId="1">
      <calculatedColumnFormula>IF(G2&lt;75,"Ja","Nej")</calculatedColumnFormula>
    </tableColumn>
    <tableColumn id="11" xr3:uid="{6D837427-A274-4A86-AAB9-3081B13F9F95}" name="Inaktiv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AADDCA-7A52-4747-AA0E-7547EBC5927B}" name="tblYear" displayName="tblYear" ref="A2:G176" totalsRowShown="0">
  <autoFilter ref="A2:G176" xr:uid="{D1BBEFAA-51A7-480B-ACFE-700ED0C175D6}"/>
  <sortState xmlns:xlrd2="http://schemas.microsoft.com/office/spreadsheetml/2017/richdata2" ref="A3:G168">
    <sortCondition ref="A2:A171"/>
  </sortState>
  <tableColumns count="7">
    <tableColumn id="1" xr3:uid="{473692E4-2C22-4A5C-9765-CEFD577F7B84}" name="Elev"/>
    <tableColumn id="2" xr3:uid="{A2E7F795-EE2E-4023-9EA9-67CEB218F392}" name="Total närvaro"/>
    <tableColumn id="3" xr3:uid="{8EA08B04-4732-4460-884C-060110E7C508}" name="Total frånvaro"/>
    <tableColumn id="4" xr3:uid="{A56EBE87-05B1-49D0-B0BF-0F6295876B35}" name="Kolumn1"/>
    <tableColumn id="5" xr3:uid="{4697502D-AB6B-4498-97AC-F6FD981BC404}" name="Oanmäld frånvaro"/>
    <tableColumn id="6" xr3:uid="{784CB7A5-27D7-4048-AFB8-1095185ADD5A}" name="Anmäld frånvaro"/>
    <tableColumn id="7" xr3:uid="{2F183723-5AED-44BD-B96C-F8DB23D75DB2}" name="Sen ankoms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513911-7A5E-48E9-A2FB-327E6011E6F2}" name="tbl4w" displayName="tbl4w" ref="J2:P169" totalsRowShown="0">
  <autoFilter ref="J2:P169" xr:uid="{D1513911-7A5E-48E9-A2FB-327E6011E6F2}"/>
  <tableColumns count="7">
    <tableColumn id="1" xr3:uid="{71259C65-CD87-491B-B2A6-AC937995600D}" name="Elev"/>
    <tableColumn id="2" xr3:uid="{42866E52-CA9B-41B1-AC24-8076C626EEA8}" name="Total närvaro"/>
    <tableColumn id="3" xr3:uid="{A364143A-C8AD-48D7-ABCB-8C8ED9BC0114}" name="Total frånvaro"/>
    <tableColumn id="4" xr3:uid="{30187DAD-42C9-4F6D-895C-4A6917389D3D}" name="Kolumn1"/>
    <tableColumn id="5" xr3:uid="{43D34AD5-E336-44C4-986F-EE4FC69995A2}" name="Oanmäld frånvaro"/>
    <tableColumn id="6" xr3:uid="{69B5A1DD-B225-4EE2-9F08-774A6EFAC2EF}" name="Anmäld frånvaro"/>
    <tableColumn id="7" xr3:uid="{8F046EC3-C7E6-45D2-87FA-B8DCA202F33B}" name="Sen ankomst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A41384-D87C-424C-9C89-3DE0905F845D}" name="tblSpring" displayName="tblSpring" ref="S2:Y172" totalsRowShown="0">
  <autoFilter ref="S2:Y172" xr:uid="{08A41384-D87C-424C-9C89-3DE0905F845D}"/>
  <tableColumns count="7">
    <tableColumn id="1" xr3:uid="{333F0EEE-FBDE-4A50-96DF-31170D413E6D}" name="Elev"/>
    <tableColumn id="2" xr3:uid="{A89310B5-92CF-4E4F-9B02-8207F3F8837D}" name="Total närvaro"/>
    <tableColumn id="3" xr3:uid="{EF08E0B1-DC62-4ACB-B565-C056D84AE8A3}" name="Total frånvaro"/>
    <tableColumn id="4" xr3:uid="{50D9A82A-182B-4E90-893E-EA64E6E3E292}" name="Kolumn1"/>
    <tableColumn id="5" xr3:uid="{B6A32AB9-BB7A-47B3-A2CE-62E4320A6BFA}" name="Oanmäld frånvaro"/>
    <tableColumn id="6" xr3:uid="{00A6D244-0CA6-4C64-9EBE-6959CD059175}" name="Anmäld frånvaro"/>
    <tableColumn id="7" xr3:uid="{824F6BBA-5107-425C-A129-16B9BDDA0E8F}" name="Sen ankomst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8555F-5549-4586-91A9-05DF3CBED927}">
  <sheetPr codeName="Blad3"/>
  <dimension ref="A1:A5"/>
  <sheetViews>
    <sheetView tabSelected="1" workbookViewId="0">
      <selection activeCell="A4" sqref="A4"/>
    </sheetView>
  </sheetViews>
  <sheetFormatPr defaultRowHeight="14.5" x14ac:dyDescent="0.35"/>
  <sheetData>
    <row r="1" spans="1:1" ht="36" x14ac:dyDescent="0.8">
      <c r="A1" s="11" t="s">
        <v>45</v>
      </c>
    </row>
    <row r="3" spans="1:1" x14ac:dyDescent="0.35">
      <c r="A3" t="s">
        <v>51</v>
      </c>
    </row>
    <row r="4" spans="1:1" x14ac:dyDescent="0.35">
      <c r="A4" t="s">
        <v>53</v>
      </c>
    </row>
    <row r="5" spans="1:1" x14ac:dyDescent="0.35">
      <c r="A5" t="s">
        <v>52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napp1_Klicka">
                <anchor moveWithCells="1" sizeWithCells="1">
                  <from>
                    <xdr:col>0</xdr:col>
                    <xdr:colOff>95250</xdr:colOff>
                    <xdr:row>6</xdr:row>
                    <xdr:rowOff>6350</xdr:rowOff>
                  </from>
                  <to>
                    <xdr:col>2</xdr:col>
                    <xdr:colOff>165100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739DB-CB0A-4437-93C6-520E8B4A02A2}">
  <sheetPr codeName="Blad1"/>
  <dimension ref="A1:Z2"/>
  <sheetViews>
    <sheetView topLeftCell="D1" workbookViewId="0">
      <selection activeCell="O2" sqref="O2"/>
    </sheetView>
  </sheetViews>
  <sheetFormatPr defaultRowHeight="14.5" x14ac:dyDescent="0.35"/>
  <cols>
    <col min="1" max="2" width="19.7265625" customWidth="1"/>
    <col min="3" max="3" width="22.7265625" customWidth="1"/>
    <col min="4" max="4" width="13.81640625" customWidth="1"/>
    <col min="5" max="5" width="12.08984375" customWidth="1"/>
    <col min="6" max="6" width="5.90625" customWidth="1"/>
    <col min="7" max="7" width="6.7265625" customWidth="1"/>
    <col min="8" max="8" width="7.7265625" customWidth="1"/>
    <col min="9" max="9" width="11.08984375" customWidth="1"/>
    <col min="10" max="12" width="12.453125" customWidth="1"/>
    <col min="13" max="13" width="11" customWidth="1"/>
    <col min="14" max="14" width="11" bestFit="1" customWidth="1"/>
    <col min="15" max="23" width="11" customWidth="1"/>
    <col min="24" max="25" width="11.08984375" bestFit="1" customWidth="1"/>
  </cols>
  <sheetData>
    <row r="1" spans="1:26" ht="13.65" customHeight="1" x14ac:dyDescent="0.35">
      <c r="A1" s="13" t="s">
        <v>26</v>
      </c>
      <c r="B1" s="13" t="s">
        <v>7</v>
      </c>
      <c r="C1" s="13" t="s">
        <v>8</v>
      </c>
      <c r="D1" s="13" t="s">
        <v>9</v>
      </c>
      <c r="E1" s="13" t="s">
        <v>43</v>
      </c>
      <c r="F1" s="13" t="s">
        <v>41</v>
      </c>
      <c r="G1" s="13" t="s">
        <v>6</v>
      </c>
      <c r="H1" s="13" t="s">
        <v>3</v>
      </c>
      <c r="I1" s="1" t="s">
        <v>2</v>
      </c>
      <c r="J1" s="1" t="s">
        <v>1</v>
      </c>
      <c r="K1" s="1" t="s">
        <v>0</v>
      </c>
      <c r="L1" s="1" t="s">
        <v>18</v>
      </c>
      <c r="M1" s="13" t="s">
        <v>44</v>
      </c>
      <c r="N1" s="13" t="s">
        <v>31</v>
      </c>
      <c r="O1" s="14" t="s">
        <v>30</v>
      </c>
      <c r="P1" s="14" t="s">
        <v>10</v>
      </c>
      <c r="Q1" s="15" t="s">
        <v>11</v>
      </c>
      <c r="R1" s="15" t="s">
        <v>12</v>
      </c>
      <c r="S1" s="15" t="s">
        <v>13</v>
      </c>
      <c r="T1" s="15" t="s">
        <v>14</v>
      </c>
      <c r="U1" s="15" t="s">
        <v>15</v>
      </c>
      <c r="V1" s="15" t="s">
        <v>16</v>
      </c>
      <c r="W1" s="15" t="s">
        <v>17</v>
      </c>
      <c r="X1" s="13" t="s">
        <v>4</v>
      </c>
      <c r="Y1" s="13" t="s">
        <v>5</v>
      </c>
      <c r="Z1" s="16" t="s">
        <v>27</v>
      </c>
    </row>
    <row r="2" spans="1:26" ht="13.65" customHeight="1" x14ac:dyDescent="0.35">
      <c r="A2" s="3" t="str">
        <f>tblTotal[[#This Row],[Klass]]&amp;" "&amp;tblTotal[[#This Row],[Efternamn]]&amp;" "&amp;tblTotal[[#This Row],[Förnamn]]</f>
        <v>Allmän Fokus A Dahlén Johannes</v>
      </c>
      <c r="B2" s="3" t="str">
        <f>_xlfn.XLOOKUP(tblTotal[[#This Row],[Sammanskrivet]],tblYear[Elev],tblYear[Total närvaro])</f>
        <v>164.4 t (75.8%)</v>
      </c>
      <c r="C2" s="3" t="str">
        <f>_xlfn.XLOOKUP(tblTotal[[#This Row],[Sammanskrivet]],tblYear[Elev],tblYear[Total frånvaro])</f>
        <v>52.6 t (24.2%)</v>
      </c>
      <c r="D2" s="3" t="str">
        <f>_xlfn.XLOOKUP(tblTotal[[#This Row],[Sammanskrivet]],tbl4w[Elev],tbl4w[Total frånvaro])</f>
        <v>21.1 t (32.0%)</v>
      </c>
      <c r="E2" s="3" t="str">
        <f>_xlfn.XLOOKUP(tblTotal[[#This Row],[Sammanskrivet]],tblSpring[Elev],tblSpring[Total frånvaro])</f>
        <v>57.3 t (24.5%)</v>
      </c>
      <c r="F2" s="3">
        <f>VALUE(100-SUBSTITUTE(MID(tblTotal[[#This Row],[VT frånvaro]], SEARCH("t",tblTotal[[#This Row],[VT frånvaro]]) + 3, SEARCH("%",tblTotal[[#This Row],[VT frånvaro]]) - SEARCH("t",tblTotal[[#This Row],[VT frånvaro]])-3),".",","))</f>
        <v>75.5</v>
      </c>
      <c r="G2" s="7">
        <f>VALUE(100-SUBSTITUTE(MID(tblTotal[[#This Row],[4v frånvaro]], SEARCH("t",tblTotal[[#This Row],[4v frånvaro]]) + 3, SEARCH("%",tblTotal[[#This Row],[4v frånvaro]]) - SEARCH("t",tblTotal[[#This Row],[4v frånvaro]])-3),".",","))</f>
        <v>68</v>
      </c>
      <c r="H2" s="7">
        <f>VALUE(100-SUBSTITUTE(MID(tblTotal[[#This Row],[Tot Frånvaro]], SEARCH("t",tblTotal[[#This Row],[Tot Frånvaro]]) + 3, SEARCH("%",tblTotal[[#This Row],[Tot Frånvaro]]) - SEARCH("t",tblTotal[[#This Row],[Tot Frånvaro]])-3),".",","))</f>
        <v>75.8</v>
      </c>
      <c r="I2" s="10" t="s">
        <v>54</v>
      </c>
      <c r="J2" s="9" t="s">
        <v>55</v>
      </c>
      <c r="K2" s="3" t="s">
        <v>25</v>
      </c>
      <c r="L2" t="s">
        <v>50</v>
      </c>
      <c r="M2" s="4">
        <v>75.5</v>
      </c>
      <c r="N2" s="2">
        <v>68</v>
      </c>
      <c r="O2" s="2">
        <v>75.8</v>
      </c>
      <c r="P2" s="4">
        <v>89.3</v>
      </c>
      <c r="Q2" s="4">
        <v>99.4</v>
      </c>
      <c r="R2" s="4">
        <v>83.9</v>
      </c>
      <c r="S2" s="4">
        <v>99.4</v>
      </c>
      <c r="T2" s="4">
        <v>85.9</v>
      </c>
      <c r="U2" s="4">
        <v>99.2</v>
      </c>
      <c r="V2" s="6">
        <v>89.1</v>
      </c>
      <c r="W2" s="6">
        <v>68</v>
      </c>
      <c r="X2" s="12" t="str">
        <f t="shared" ref="X2" si="0">IF(OR(G2&lt;80,H2&lt;80),"Ja","Nej")</f>
        <v>Ja</v>
      </c>
      <c r="Y2" s="8" t="str">
        <f t="shared" ref="Y2" si="1">IF(G2&lt;75,"Ja","Nej")</f>
        <v>Ja</v>
      </c>
      <c r="Z2" s="5">
        <f>IF(tblTotal[[#This Row],[4v text]]="#SAKNAS!",1,0)</f>
        <v>0</v>
      </c>
    </row>
  </sheetData>
  <phoneticPr fontId="3" type="noConversion"/>
  <conditionalFormatting sqref="G2:H2">
    <cfRule type="cellIs" dxfId="33" priority="6" operator="lessThan">
      <formula>75</formula>
    </cfRule>
  </conditionalFormatting>
  <conditionalFormatting sqref="P2:W2">
    <cfRule type="cellIs" dxfId="32" priority="1" operator="lessThan">
      <formula>80</formula>
    </cfRule>
    <cfRule type="cellIs" dxfId="31" priority="2" operator="between">
      <formula>80</formula>
      <formula>90</formula>
    </cfRule>
    <cfRule type="cellIs" dxfId="30" priority="3" operator="greaterThan">
      <formula>90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F3CA2-3EE7-40A4-81C7-EF0BB1AB61A8}">
  <sheetPr codeName="Blad2"/>
  <dimension ref="A1:Y3"/>
  <sheetViews>
    <sheetView workbookViewId="0">
      <selection activeCell="S3" sqref="S3"/>
    </sheetView>
  </sheetViews>
  <sheetFormatPr defaultRowHeight="14.5" x14ac:dyDescent="0.35"/>
  <cols>
    <col min="1" max="1" width="40.7265625" customWidth="1"/>
    <col min="2" max="2" width="14.7265625" customWidth="1"/>
    <col min="3" max="3" width="15.453125" customWidth="1"/>
    <col min="5" max="5" width="19" customWidth="1"/>
    <col min="6" max="6" width="17.81640625" customWidth="1"/>
    <col min="7" max="7" width="14.453125" customWidth="1"/>
    <col min="10" max="10" width="35" customWidth="1"/>
    <col min="11" max="11" width="14.7265625" customWidth="1"/>
    <col min="12" max="12" width="15.453125" customWidth="1"/>
    <col min="13" max="13" width="10.36328125" customWidth="1"/>
    <col min="14" max="14" width="19" customWidth="1"/>
    <col min="15" max="15" width="17.81640625" customWidth="1"/>
    <col min="16" max="16" width="14.453125" customWidth="1"/>
    <col min="17" max="17" width="10.1796875" customWidth="1"/>
    <col min="19" max="19" width="20.81640625" customWidth="1"/>
    <col min="20" max="20" width="13.90625" customWidth="1"/>
    <col min="21" max="21" width="14.6328125" customWidth="1"/>
    <col min="23" max="23" width="18" customWidth="1"/>
    <col min="24" max="24" width="16.90625" customWidth="1"/>
    <col min="25" max="25" width="13.6328125" customWidth="1"/>
  </cols>
  <sheetData>
    <row r="1" spans="1:25" x14ac:dyDescent="0.35">
      <c r="A1" t="s">
        <v>32</v>
      </c>
      <c r="J1" t="s">
        <v>6</v>
      </c>
      <c r="S1" t="s">
        <v>41</v>
      </c>
    </row>
    <row r="2" spans="1:25" x14ac:dyDescent="0.35">
      <c r="A2" t="s">
        <v>19</v>
      </c>
      <c r="B2" t="s">
        <v>20</v>
      </c>
      <c r="C2" t="s">
        <v>21</v>
      </c>
      <c r="D2" t="s">
        <v>33</v>
      </c>
      <c r="E2" t="s">
        <v>22</v>
      </c>
      <c r="F2" t="s">
        <v>23</v>
      </c>
      <c r="G2" t="s">
        <v>24</v>
      </c>
      <c r="J2" t="s">
        <v>19</v>
      </c>
      <c r="K2" t="s">
        <v>20</v>
      </c>
      <c r="L2" t="s">
        <v>21</v>
      </c>
      <c r="M2" t="s">
        <v>33</v>
      </c>
      <c r="N2" t="s">
        <v>22</v>
      </c>
      <c r="O2" t="s">
        <v>23</v>
      </c>
      <c r="P2" t="s">
        <v>24</v>
      </c>
      <c r="S2" t="s">
        <v>19</v>
      </c>
      <c r="T2" t="s">
        <v>20</v>
      </c>
      <c r="U2" t="s">
        <v>21</v>
      </c>
      <c r="V2" t="s">
        <v>33</v>
      </c>
      <c r="W2" t="s">
        <v>22</v>
      </c>
      <c r="X2" t="s">
        <v>23</v>
      </c>
      <c r="Y2" t="s">
        <v>24</v>
      </c>
    </row>
    <row r="3" spans="1:25" x14ac:dyDescent="0.35">
      <c r="A3" t="s">
        <v>56</v>
      </c>
      <c r="B3" t="s">
        <v>34</v>
      </c>
      <c r="C3" t="s">
        <v>35</v>
      </c>
      <c r="E3" t="s">
        <v>36</v>
      </c>
      <c r="F3" t="s">
        <v>37</v>
      </c>
      <c r="G3" t="s">
        <v>28</v>
      </c>
      <c r="J3" t="s">
        <v>56</v>
      </c>
      <c r="K3" t="s">
        <v>38</v>
      </c>
      <c r="L3" t="s">
        <v>39</v>
      </c>
      <c r="N3" t="s">
        <v>40</v>
      </c>
      <c r="O3" t="s">
        <v>29</v>
      </c>
      <c r="P3" t="s">
        <v>28</v>
      </c>
      <c r="S3" t="s">
        <v>56</v>
      </c>
      <c r="T3" t="s">
        <v>46</v>
      </c>
      <c r="U3" t="s">
        <v>47</v>
      </c>
      <c r="W3" t="s">
        <v>48</v>
      </c>
      <c r="X3" t="s">
        <v>49</v>
      </c>
      <c r="Y3" t="s">
        <v>42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CA6158-5B45-423A-994C-5FD1B47C04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Info</vt:lpstr>
      <vt:lpstr>Sammanställning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Dahlén</dc:creator>
  <cp:lastModifiedBy>Johannes Dahlén</cp:lastModifiedBy>
  <dcterms:created xsi:type="dcterms:W3CDTF">2018-09-21T07:12:19Z</dcterms:created>
  <dcterms:modified xsi:type="dcterms:W3CDTF">2022-05-13T07:44:53Z</dcterms:modified>
</cp:coreProperties>
</file>